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30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<sst xmlns="http://schemas.openxmlformats.org/spreadsheetml/2006/main" count="35" uniqueCount="15">
  <si>
    <t>ARANYA</t>
  </si>
  <si>
    <t>STOCK NAME</t>
  </si>
  <si>
    <t>STOCK QTY</t>
  </si>
  <si>
    <t>DATE OF PURCHASE</t>
  </si>
  <si>
    <t>PURCHASE PRICE</t>
  </si>
  <si>
    <t>AMOUNT INVESTED</t>
  </si>
  <si>
    <t>AMOUNT RETURN</t>
  </si>
  <si>
    <t>VBL</t>
  </si>
  <si>
    <t>IDFC</t>
  </si>
  <si>
    <t>TOTAL</t>
  </si>
  <si>
    <t>MANAS</t>
  </si>
  <si>
    <t>SBI</t>
  </si>
  <si>
    <t>BOROSIL</t>
  </si>
  <si>
    <t>ICICI</t>
  </si>
  <si>
    <t>AXIS</t>
  </si>
</sst>
</file>

<file path=xl/styles.xml><?xml version="1.0" encoding="utf-8"?>
<styleSheet xmlns="http://schemas.openxmlformats.org/spreadsheetml/2006/main">
  <numFmts count="6">
    <numFmt numFmtId="176" formatCode="0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* #,##0.00_ ;_ * \-#,##0.00_ ;_ * &quot;-&quot;??_ ;_ @_ "/>
    <numFmt numFmtId="180" formatCode="_ &quot;₹&quot;* #,##0_ ;_ &quot;₹&quot;* \-#,##0_ ;_ &quot;₹&quot;* &quot;-&quot;_ ;_ @_ "/>
    <numFmt numFmtId="181" formatCode="[$-409]d/mmm/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16" borderId="3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81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0" borderId="1" xfId="0" applyBorder="1">
      <alignment vertical="center"/>
    </xf>
    <xf numFmtId="181" fontId="0" fillId="0" borderId="1" xfId="0" applyNumberFormat="1" applyBorder="1">
      <alignment vertical="center"/>
    </xf>
    <xf numFmtId="3" fontId="0" fillId="0" borderId="1" xfId="0" applyNumberFormat="1" applyBorder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>
      <alignment vertical="center"/>
    </xf>
    <xf numFmtId="18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176" fontId="0" fillId="0" borderId="1" xfId="0" applyNumberFormat="1" applyBorder="1">
      <alignment vertical="center"/>
    </xf>
    <xf numFmtId="176" fontId="0" fillId="0" borderId="0" xfId="0" applyNumberFormat="1">
      <alignment vertical="center"/>
    </xf>
    <xf numFmtId="176" fontId="1" fillId="0" borderId="1" xfId="0" applyNumberFormat="1" applyFont="1" applyBorder="1">
      <alignment vertical="center"/>
    </xf>
    <xf numFmtId="0" fontId="0" fillId="0" borderId="0" xfId="0" applyNumberFormat="1">
      <alignment vertical="center"/>
    </xf>
    <xf numFmtId="0" fontId="0" fillId="0" borderId="1" xfId="0" applyNumberForma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O38"/>
  <sheetViews>
    <sheetView tabSelected="1" workbookViewId="0">
      <selection activeCell="J23" sqref="J23"/>
    </sheetView>
  </sheetViews>
  <sheetFormatPr defaultColWidth="9.14285714285714" defaultRowHeight="15"/>
  <cols>
    <col min="5" max="5" width="16.8571428571429" customWidth="1"/>
    <col min="6" max="6" width="18.7142857142857" customWidth="1"/>
    <col min="7" max="7" width="24.5714285714286" style="2" customWidth="1"/>
    <col min="8" max="8" width="21" style="3" customWidth="1"/>
    <col min="9" max="9" width="28.1428571428571" customWidth="1"/>
    <col min="10" max="10" width="18.5714285714286" customWidth="1"/>
  </cols>
  <sheetData>
    <row r="3" spans="5:10">
      <c r="E3" s="4"/>
      <c r="F3" s="4"/>
      <c r="G3" s="5" t="s">
        <v>0</v>
      </c>
      <c r="H3" s="6"/>
      <c r="I3" s="4"/>
      <c r="J3" s="4"/>
    </row>
    <row r="4" spans="5:10">
      <c r="E4" s="4"/>
      <c r="F4" s="4"/>
      <c r="G4" s="7"/>
      <c r="H4" s="6"/>
      <c r="I4" s="4"/>
      <c r="J4" s="4"/>
    </row>
    <row r="5" s="1" customFormat="1" spans="5:10">
      <c r="E5" s="8" t="s">
        <v>1</v>
      </c>
      <c r="F5" s="8" t="s">
        <v>2</v>
      </c>
      <c r="G5" s="5" t="s">
        <v>3</v>
      </c>
      <c r="H5" s="9" t="s">
        <v>4</v>
      </c>
      <c r="I5" s="8" t="s">
        <v>5</v>
      </c>
      <c r="J5" s="8" t="s">
        <v>6</v>
      </c>
    </row>
    <row r="6" spans="5:14">
      <c r="E6" s="10" t="s">
        <v>7</v>
      </c>
      <c r="F6" s="10">
        <v>5</v>
      </c>
      <c r="G6" s="11">
        <v>44958</v>
      </c>
      <c r="H6" s="12">
        <v>1162.78</v>
      </c>
      <c r="I6" s="17">
        <f>SUM(F6*H6)</f>
        <v>5813.9</v>
      </c>
      <c r="J6" s="17"/>
      <c r="L6">
        <v>1701.95</v>
      </c>
      <c r="M6">
        <f>SUM(L6*F6)</f>
        <v>8509.75</v>
      </c>
      <c r="N6" s="18">
        <f t="shared" ref="N6:N8" si="0">SUM(M6-I6)</f>
        <v>2695.85</v>
      </c>
    </row>
    <row r="7" spans="5:14">
      <c r="E7" s="10" t="s">
        <v>8</v>
      </c>
      <c r="F7" s="10">
        <v>30</v>
      </c>
      <c r="G7" s="11">
        <v>44964</v>
      </c>
      <c r="H7" s="12">
        <v>60.21</v>
      </c>
      <c r="I7" s="17">
        <f>SUM(F7*H7)</f>
        <v>1806.3</v>
      </c>
      <c r="J7" s="17"/>
      <c r="L7">
        <v>69.85</v>
      </c>
      <c r="M7">
        <f>SUM(L7*F7)</f>
        <v>2095.5</v>
      </c>
      <c r="N7" s="18">
        <f t="shared" si="0"/>
        <v>289.2</v>
      </c>
    </row>
    <row r="8" spans="5:14">
      <c r="E8" s="10" t="s">
        <v>7</v>
      </c>
      <c r="F8" s="10">
        <v>5</v>
      </c>
      <c r="G8" s="11">
        <v>45019</v>
      </c>
      <c r="H8" s="12">
        <v>1402.42</v>
      </c>
      <c r="I8" s="17">
        <f>SUM(F8*H8)</f>
        <v>7012.1</v>
      </c>
      <c r="J8" s="10"/>
      <c r="L8">
        <v>1701.95</v>
      </c>
      <c r="M8">
        <f>SUM(L8*F8)</f>
        <v>8509.75</v>
      </c>
      <c r="N8" s="18">
        <f t="shared" si="0"/>
        <v>1497.65</v>
      </c>
    </row>
    <row r="9" spans="5:14">
      <c r="E9" s="10"/>
      <c r="F9" s="10"/>
      <c r="G9" s="11"/>
      <c r="H9" s="12"/>
      <c r="I9" s="10"/>
      <c r="J9" s="10"/>
      <c r="N9" s="18">
        <f>SUM(N6:N8)</f>
        <v>4482.7</v>
      </c>
    </row>
    <row r="10" spans="5:10">
      <c r="E10" s="13" t="s">
        <v>9</v>
      </c>
      <c r="F10" s="14"/>
      <c r="G10" s="15"/>
      <c r="H10" s="16"/>
      <c r="I10" s="19">
        <f>SUM(I6:I9)</f>
        <v>14632.3</v>
      </c>
      <c r="J10" s="19"/>
    </row>
    <row r="13" spans="5:15">
      <c r="E13" s="4"/>
      <c r="F13" s="4"/>
      <c r="G13" s="5" t="s">
        <v>10</v>
      </c>
      <c r="H13" s="6"/>
      <c r="I13" s="4"/>
      <c r="J13" s="4"/>
      <c r="O13" s="20"/>
    </row>
    <row r="14" spans="5:10">
      <c r="E14" s="4"/>
      <c r="F14" s="4"/>
      <c r="G14" s="7"/>
      <c r="H14" s="6"/>
      <c r="I14" s="4"/>
      <c r="J14" s="4"/>
    </row>
    <row r="15" spans="5:10">
      <c r="E15" s="8" t="s">
        <v>1</v>
      </c>
      <c r="F15" s="8" t="s">
        <v>2</v>
      </c>
      <c r="G15" s="5" t="s">
        <v>3</v>
      </c>
      <c r="H15" s="9" t="s">
        <v>4</v>
      </c>
      <c r="I15" s="8" t="s">
        <v>5</v>
      </c>
      <c r="J15" s="8" t="s">
        <v>6</v>
      </c>
    </row>
    <row r="16" spans="5:10">
      <c r="E16" s="10" t="s">
        <v>7</v>
      </c>
      <c r="F16" s="10">
        <v>2</v>
      </c>
      <c r="G16" s="11">
        <v>44945</v>
      </c>
      <c r="H16" s="12">
        <v>1231.43</v>
      </c>
      <c r="I16" s="17">
        <f>SUM(F16*H16)</f>
        <v>2462.86</v>
      </c>
      <c r="J16" s="17"/>
    </row>
    <row r="17" ht="14" customHeight="1" spans="5:10">
      <c r="E17" s="10" t="s">
        <v>7</v>
      </c>
      <c r="F17" s="10">
        <v>3</v>
      </c>
      <c r="G17" s="11">
        <v>44946</v>
      </c>
      <c r="H17" s="12">
        <v>1239.6</v>
      </c>
      <c r="I17" s="17">
        <f t="shared" ref="I17:I31" si="1">SUM(F17*H17)</f>
        <v>3718.8</v>
      </c>
      <c r="J17" s="17"/>
    </row>
    <row r="18" spans="5:10">
      <c r="E18" s="10" t="s">
        <v>8</v>
      </c>
      <c r="F18" s="10">
        <v>9</v>
      </c>
      <c r="G18" s="11">
        <v>44945</v>
      </c>
      <c r="H18" s="12">
        <v>59.02</v>
      </c>
      <c r="I18" s="17">
        <f t="shared" si="1"/>
        <v>531.18</v>
      </c>
      <c r="J18" s="17"/>
    </row>
    <row r="19" spans="5:10">
      <c r="E19" s="10" t="s">
        <v>8</v>
      </c>
      <c r="F19" s="10">
        <v>1</v>
      </c>
      <c r="G19" s="11">
        <v>44945</v>
      </c>
      <c r="H19" s="12">
        <v>58.95</v>
      </c>
      <c r="I19" s="17">
        <f t="shared" si="1"/>
        <v>58.95</v>
      </c>
      <c r="J19" s="17"/>
    </row>
    <row r="20" spans="5:10">
      <c r="E20" s="10" t="s">
        <v>8</v>
      </c>
      <c r="F20" s="10">
        <v>40</v>
      </c>
      <c r="G20" s="11">
        <v>44945</v>
      </c>
      <c r="H20" s="12">
        <v>59.02</v>
      </c>
      <c r="I20" s="17">
        <f t="shared" si="1"/>
        <v>2360.8</v>
      </c>
      <c r="J20" s="17"/>
    </row>
    <row r="21" spans="5:10">
      <c r="E21" s="10" t="s">
        <v>8</v>
      </c>
      <c r="F21" s="10">
        <v>20</v>
      </c>
      <c r="G21" s="11">
        <v>44964</v>
      </c>
      <c r="H21" s="12">
        <v>60.21</v>
      </c>
      <c r="I21" s="17">
        <f t="shared" si="1"/>
        <v>1204.2</v>
      </c>
      <c r="J21" s="17"/>
    </row>
    <row r="22" spans="5:10">
      <c r="E22" s="10" t="s">
        <v>11</v>
      </c>
      <c r="F22" s="10">
        <v>1</v>
      </c>
      <c r="G22" s="11">
        <v>44945</v>
      </c>
      <c r="H22" s="12">
        <v>593.7</v>
      </c>
      <c r="I22" s="17">
        <f t="shared" si="1"/>
        <v>593.7</v>
      </c>
      <c r="J22" s="17">
        <v>595</v>
      </c>
    </row>
    <row r="23" spans="5:10">
      <c r="E23" s="10" t="s">
        <v>12</v>
      </c>
      <c r="F23" s="10">
        <v>10</v>
      </c>
      <c r="G23" s="11">
        <v>44959</v>
      </c>
      <c r="H23" s="12">
        <v>358.94</v>
      </c>
      <c r="I23" s="17">
        <f t="shared" si="1"/>
        <v>3589.4</v>
      </c>
      <c r="J23" s="21">
        <v>3706</v>
      </c>
    </row>
    <row r="24" spans="5:10">
      <c r="E24" s="10" t="s">
        <v>7</v>
      </c>
      <c r="F24" s="10">
        <v>5</v>
      </c>
      <c r="G24" s="11">
        <v>45019</v>
      </c>
      <c r="H24" s="12">
        <v>1402.42</v>
      </c>
      <c r="I24" s="17">
        <f t="shared" si="1"/>
        <v>7012.1</v>
      </c>
      <c r="J24" s="10"/>
    </row>
    <row r="25" spans="5:10">
      <c r="E25" s="10" t="s">
        <v>7</v>
      </c>
      <c r="F25" s="10">
        <v>5</v>
      </c>
      <c r="G25" s="11">
        <v>45028</v>
      </c>
      <c r="H25" s="12">
        <v>1436.15</v>
      </c>
      <c r="I25" s="17">
        <f t="shared" si="1"/>
        <v>7180.75</v>
      </c>
      <c r="J25" s="10"/>
    </row>
    <row r="26" spans="5:10">
      <c r="E26" s="10" t="s">
        <v>7</v>
      </c>
      <c r="F26" s="10">
        <v>15</v>
      </c>
      <c r="G26" s="11">
        <v>45054</v>
      </c>
      <c r="H26" s="12">
        <v>1456.05</v>
      </c>
      <c r="I26" s="17">
        <f t="shared" si="1"/>
        <v>21840.75</v>
      </c>
      <c r="J26" s="10"/>
    </row>
    <row r="27" spans="5:10">
      <c r="E27" s="10" t="s">
        <v>13</v>
      </c>
      <c r="F27" s="10">
        <v>1</v>
      </c>
      <c r="G27" s="11">
        <v>45056</v>
      </c>
      <c r="H27" s="12">
        <v>939.6</v>
      </c>
      <c r="I27" s="17">
        <f t="shared" si="1"/>
        <v>939.6</v>
      </c>
      <c r="J27" s="17">
        <v>949.55</v>
      </c>
    </row>
    <row r="28" spans="5:10">
      <c r="E28" s="10" t="s">
        <v>14</v>
      </c>
      <c r="F28" s="10">
        <v>1</v>
      </c>
      <c r="G28" s="11">
        <v>45056</v>
      </c>
      <c r="H28" s="12">
        <v>889</v>
      </c>
      <c r="I28" s="17">
        <f t="shared" si="1"/>
        <v>889</v>
      </c>
      <c r="J28" s="10"/>
    </row>
    <row r="29" spans="5:10">
      <c r="E29" s="10" t="s">
        <v>14</v>
      </c>
      <c r="F29" s="10">
        <v>1</v>
      </c>
      <c r="G29" s="11">
        <v>45064</v>
      </c>
      <c r="H29" s="12">
        <v>927.35</v>
      </c>
      <c r="I29" s="17">
        <f t="shared" si="1"/>
        <v>927.35</v>
      </c>
      <c r="J29" s="10"/>
    </row>
    <row r="30" spans="5:10">
      <c r="E30" s="10" t="s">
        <v>14</v>
      </c>
      <c r="F30" s="10">
        <v>2</v>
      </c>
      <c r="G30" s="11">
        <v>45068</v>
      </c>
      <c r="H30" s="12">
        <v>922.5</v>
      </c>
      <c r="I30" s="17">
        <f t="shared" si="1"/>
        <v>1845</v>
      </c>
      <c r="J30" s="10"/>
    </row>
    <row r="31" spans="5:10">
      <c r="E31" s="10" t="s">
        <v>14</v>
      </c>
      <c r="F31" s="10">
        <v>1</v>
      </c>
      <c r="G31" s="11">
        <v>45070</v>
      </c>
      <c r="H31" s="12">
        <v>913.65</v>
      </c>
      <c r="I31" s="17">
        <f t="shared" si="1"/>
        <v>913.65</v>
      </c>
      <c r="J31" s="10"/>
    </row>
    <row r="32" spans="5:10">
      <c r="E32" s="10"/>
      <c r="F32" s="10"/>
      <c r="G32" s="11"/>
      <c r="H32" s="12"/>
      <c r="I32" s="17"/>
      <c r="J32" s="10"/>
    </row>
    <row r="33" spans="5:10">
      <c r="E33" s="10"/>
      <c r="F33" s="10"/>
      <c r="G33" s="11"/>
      <c r="H33" s="12"/>
      <c r="I33" s="17"/>
      <c r="J33" s="10"/>
    </row>
    <row r="34" spans="5:10">
      <c r="E34" s="10"/>
      <c r="F34" s="10"/>
      <c r="G34" s="11"/>
      <c r="H34" s="12"/>
      <c r="I34" s="17"/>
      <c r="J34" s="10"/>
    </row>
    <row r="35" spans="5:10">
      <c r="E35" s="10"/>
      <c r="F35" s="10"/>
      <c r="G35" s="11"/>
      <c r="H35" s="12"/>
      <c r="I35" s="17"/>
      <c r="J35" s="10"/>
    </row>
    <row r="36" spans="5:10">
      <c r="E36" s="10"/>
      <c r="F36" s="10"/>
      <c r="G36" s="11"/>
      <c r="H36" s="12"/>
      <c r="I36" s="17"/>
      <c r="J36" s="10"/>
    </row>
    <row r="37" spans="5:10">
      <c r="E37" s="10"/>
      <c r="F37" s="10"/>
      <c r="G37" s="11"/>
      <c r="H37" s="12"/>
      <c r="I37" s="17">
        <f>SUM(F37*H37)</f>
        <v>0</v>
      </c>
      <c r="J37" s="10"/>
    </row>
    <row r="38" spans="5:10">
      <c r="E38" s="13" t="s">
        <v>9</v>
      </c>
      <c r="F38" s="14"/>
      <c r="G38" s="15"/>
      <c r="H38" s="16"/>
      <c r="I38" s="19">
        <f>SUM(I16:I37)</f>
        <v>56068.09</v>
      </c>
      <c r="J38" s="19">
        <f>SUM(J16:J37)</f>
        <v>5250.55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Aranya</dc:creator>
  <cp:lastModifiedBy>Aranya</cp:lastModifiedBy>
  <dcterms:created xsi:type="dcterms:W3CDTF">2023-02-08T14:12:00Z</dcterms:created>
  <dcterms:modified xsi:type="dcterms:W3CDTF">2023-06-04T13:42:58Z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58A60CC9C4C9456B8A34C17B87C32169</vt:lpwstr>
  </property>
  <property fmtid="{D5CDD505-2E9C-101B-9397-08002B2CF9AE}" pid="3" name="KSOProductBuildVer">
    <vt:lpwstr>1033-11.2.0.11219</vt:lpwstr>
  </property>
</Properties>
</file>